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Occupational Health Grant\Ketki\Meatpacking project\Materials for WCC Manuscript\denominator\"/>
    </mc:Choice>
  </mc:AlternateContent>
  <bookViews>
    <workbookView xWindow="0" yWindow="0" windowWidth="28800" windowHeight="14235"/>
  </bookViews>
  <sheets>
    <sheet name="download" sheetId="1" r:id="rId1"/>
  </sheets>
  <calcPr calcId="152511"/>
</workbook>
</file>

<file path=xl/calcChain.xml><?xml version="1.0" encoding="utf-8"?>
<calcChain xmlns="http://schemas.openxmlformats.org/spreadsheetml/2006/main">
  <c r="H44" i="1" l="1"/>
  <c r="H43" i="1" l="1"/>
  <c r="J46" i="1" s="1"/>
  <c r="J44" i="1" l="1"/>
  <c r="J45" i="1"/>
  <c r="J43" i="1"/>
</calcChain>
</file>

<file path=xl/sharedStrings.xml><?xml version="1.0" encoding="utf-8"?>
<sst xmlns="http://schemas.openxmlformats.org/spreadsheetml/2006/main" count="85" uniqueCount="42">
  <si>
    <t>Query Parameters</t>
  </si>
  <si>
    <t>Age(s):</t>
  </si>
  <si>
    <t>&gt;= 16</t>
  </si>
  <si>
    <t>Weight in use:</t>
  </si>
  <si>
    <t>Composited Weight</t>
  </si>
  <si>
    <t>Labor Estimate Type:</t>
  </si>
  <si>
    <t>Full Time Equivalents - All Jobs</t>
  </si>
  <si>
    <t>Year(s):</t>
  </si>
  <si>
    <t>2012; 2011; 2010; 2009; 2008</t>
  </si>
  <si>
    <t>State:</t>
  </si>
  <si>
    <t>Nebraska</t>
  </si>
  <si>
    <t>Industry Code(Primary Job 2003-2013):</t>
  </si>
  <si>
    <t>1180 : Animal slaughtering and processing</t>
  </si>
  <si>
    <t>Non-selected variables:</t>
  </si>
  <si>
    <t>Default value = All</t>
  </si>
  <si>
    <t>Group Columns By:</t>
  </si>
  <si>
    <t>Year</t>
  </si>
  <si>
    <t>Group Rows By:</t>
  </si>
  <si>
    <t>Sex, Age Group(Five Years)</t>
  </si>
  <si>
    <t>Sex</t>
  </si>
  <si>
    <t>Age Group(Five Years)</t>
  </si>
  <si>
    <t>Workers</t>
  </si>
  <si>
    <t>Male</t>
  </si>
  <si>
    <t>16-17</t>
  </si>
  <si>
    <t>18-19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</si>
  <si>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</si>
  <si>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</si>
  <si>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</si>
  <si>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</si>
  <si>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</si>
  <si>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</si>
  <si>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</si>
  <si>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</si>
  <si>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</si>
  <si>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</si>
  <si>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</si>
  <si>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</si>
  <si>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Subtotal:</t>
  </si>
  <si>
    <t>Female</t>
  </si>
  <si>
    <t>Total:</t>
  </si>
  <si>
    <t>total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</si>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</sst>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6"/>
  <sheetViews>
    <sheetView tabSelected="1" topLeftCell="A25" zoomScale="130" zoomScaleNormal="130" workbookViewId="0">
      <selection activeCell="I45" sqref="I45"/>
    </sheetView>
  </sheetViews>
  <sheetFormatPr defaultRowHeight="15" x14ac:dyDescent="0.25"/>
  <sheetData>
    <row r="2" spans="1:7" x14ac:dyDescent="0.25">
      <c r="A2" t="s">
        <v>0</v>
      </c>
    </row>
    <row r="3" spans="1:7" x14ac:dyDescent="0.25">
      <c r="A3" t="s">
        <v>1</v>
      </c>
      <c r="B3" t="s">
        <v>2</v>
      </c>
    </row>
    <row r="4" spans="1:7" x14ac:dyDescent="0.25">
      <c r="A4" t="s">
        <v>3</v>
      </c>
      <c r="B4" t="s">
        <v>4</v>
      </c>
    </row>
    <row r="5" spans="1:7" x14ac:dyDescent="0.25">
      <c r="A5" t="s">
        <v>5</v>
      </c>
      <c r="B5" t="s">
        <v>6</v>
      </c>
    </row>
    <row r="6" spans="1:7" x14ac:dyDescent="0.25">
      <c r="A6" t="s">
        <v>7</v>
      </c>
      <c r="B6" t="s">
        <v>8</v>
      </c>
    </row>
    <row r="7" spans="1:7" x14ac:dyDescent="0.25">
      <c r="A7" t="s">
        <v>9</v>
      </c>
      <c r="B7" t="s">
        <v>10</v>
      </c>
    </row>
    <row r="8" spans="1:7" x14ac:dyDescent="0.25">
      <c r="A8" t="s">
        <v>11</v>
      </c>
      <c r="B8" t="s">
        <v>12</v>
      </c>
    </row>
    <row r="9" spans="1:7" x14ac:dyDescent="0.25">
      <c r="A9" t="s">
        <v>13</v>
      </c>
      <c r="B9" t="s">
        <v>14</v>
      </c>
    </row>
    <row r="10" spans="1:7" x14ac:dyDescent="0.25">
      <c r="A10" t="s">
        <v>15</v>
      </c>
      <c r="B10" t="s">
        <v>16</v>
      </c>
    </row>
    <row r="11" spans="1:7" x14ac:dyDescent="0.25">
      <c r="A11" t="s">
        <v>17</v>
      </c>
      <c r="B11" t="s">
        <v>18</v>
      </c>
    </row>
    <row r="12" spans="1:7" x14ac:dyDescent="0.25">
      <c r="C12">
        <v>2008</v>
      </c>
      <c r="D12">
        <v>2009</v>
      </c>
      <c r="E12">
        <v>2010</v>
      </c>
      <c r="F12">
        <v>2011</v>
      </c>
      <c r="G12">
        <v>2012</v>
      </c>
    </row>
    <row r="13" spans="1:7" x14ac:dyDescent="0.25">
      <c r="A13" t="s">
        <v>19</v>
      </c>
      <c r="B13" t="s">
        <v>20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</row>
    <row r="14" spans="1:7" x14ac:dyDescent="0.25">
      <c r="A14" t="s">
        <v>22</v>
      </c>
      <c r="B14" t="s">
        <v>23</v>
      </c>
      <c r="C14">
        <v>0</v>
      </c>
      <c r="D14">
        <v>311</v>
      </c>
      <c r="E14">
        <v>0</v>
      </c>
      <c r="F14">
        <v>0</v>
      </c>
      <c r="G14">
        <v>0</v>
      </c>
    </row>
    <row r="15" spans="1:7" x14ac:dyDescent="0.25">
      <c r="A15" t="s">
        <v>22</v>
      </c>
      <c r="B15" t="s">
        <v>24</v>
      </c>
      <c r="C15">
        <v>250</v>
      </c>
      <c r="D15">
        <v>109</v>
      </c>
      <c r="E15">
        <v>316</v>
      </c>
      <c r="F15">
        <v>304</v>
      </c>
      <c r="G15">
        <v>348</v>
      </c>
    </row>
    <row r="16" spans="1:7" x14ac:dyDescent="0.25">
      <c r="A16" t="s">
        <v>22</v>
      </c>
      <c r="B16" t="s">
        <v>25</v>
      </c>
      <c r="C16" s="1">
        <v>3435</v>
      </c>
      <c r="D16" s="1">
        <v>1816</v>
      </c>
      <c r="E16" s="1">
        <v>1801</v>
      </c>
      <c r="F16" s="1">
        <v>3721</v>
      </c>
      <c r="G16" s="1">
        <v>1180</v>
      </c>
    </row>
    <row r="17" spans="1:7" x14ac:dyDescent="0.25">
      <c r="A17" t="s">
        <v>22</v>
      </c>
      <c r="B17" t="s">
        <v>26</v>
      </c>
      <c r="C17" s="1">
        <v>1283</v>
      </c>
      <c r="D17" s="1">
        <v>2449</v>
      </c>
      <c r="E17" s="1">
        <v>4395</v>
      </c>
      <c r="F17" s="1">
        <v>4985</v>
      </c>
      <c r="G17" s="1">
        <v>3717</v>
      </c>
    </row>
    <row r="18" spans="1:7" x14ac:dyDescent="0.25">
      <c r="A18" t="s">
        <v>22</v>
      </c>
      <c r="B18" t="s">
        <v>27</v>
      </c>
      <c r="C18" s="1">
        <v>1987</v>
      </c>
      <c r="D18" s="1">
        <v>3036</v>
      </c>
      <c r="E18" s="1">
        <v>2880</v>
      </c>
      <c r="F18" s="1">
        <v>3982</v>
      </c>
      <c r="G18" s="1">
        <v>3547</v>
      </c>
    </row>
    <row r="19" spans="1:7" x14ac:dyDescent="0.25">
      <c r="A19" t="s">
        <v>22</v>
      </c>
      <c r="B19" t="s">
        <v>28</v>
      </c>
      <c r="C19" s="1">
        <v>3480</v>
      </c>
      <c r="D19" s="1">
        <v>3176</v>
      </c>
      <c r="E19" s="1">
        <v>1884</v>
      </c>
      <c r="F19" s="1">
        <v>1160</v>
      </c>
      <c r="G19" s="1">
        <v>4009</v>
      </c>
    </row>
    <row r="20" spans="1:7" x14ac:dyDescent="0.25">
      <c r="A20" t="s">
        <v>22</v>
      </c>
      <c r="B20" t="s">
        <v>29</v>
      </c>
      <c r="C20" s="1">
        <v>1458</v>
      </c>
      <c r="D20" s="1">
        <v>2904</v>
      </c>
      <c r="E20" s="1">
        <v>3825</v>
      </c>
      <c r="F20" s="1">
        <v>3187</v>
      </c>
      <c r="G20" s="1">
        <v>2870</v>
      </c>
    </row>
    <row r="21" spans="1:7" x14ac:dyDescent="0.25">
      <c r="A21" t="s">
        <v>22</v>
      </c>
      <c r="B21" t="s">
        <v>30</v>
      </c>
      <c r="C21" s="1">
        <v>2414</v>
      </c>
      <c r="D21" s="1">
        <v>1787</v>
      </c>
      <c r="E21" s="1">
        <v>3803</v>
      </c>
      <c r="F21" s="1">
        <v>4475</v>
      </c>
      <c r="G21" s="1">
        <v>3060</v>
      </c>
    </row>
    <row r="22" spans="1:7" x14ac:dyDescent="0.25">
      <c r="A22" t="s">
        <v>22</v>
      </c>
      <c r="B22" t="s">
        <v>31</v>
      </c>
      <c r="C22" s="1">
        <v>1603</v>
      </c>
      <c r="D22" s="1">
        <v>1860</v>
      </c>
      <c r="E22" s="1">
        <v>3230</v>
      </c>
      <c r="F22" s="1">
        <v>3483</v>
      </c>
      <c r="G22" s="1">
        <v>3029</v>
      </c>
    </row>
    <row r="23" spans="1:7" x14ac:dyDescent="0.25">
      <c r="A23" t="s">
        <v>22</v>
      </c>
      <c r="B23" t="s">
        <v>32</v>
      </c>
      <c r="C23" s="1">
        <v>1016</v>
      </c>
      <c r="D23" s="1">
        <v>1100</v>
      </c>
      <c r="E23" s="1">
        <v>1839</v>
      </c>
      <c r="F23" s="1">
        <v>2475</v>
      </c>
      <c r="G23" s="1">
        <v>1809</v>
      </c>
    </row>
    <row r="24" spans="1:7" x14ac:dyDescent="0.25">
      <c r="A24" t="s">
        <v>22</v>
      </c>
      <c r="B24" t="s">
        <v>33</v>
      </c>
      <c r="C24">
        <v>516</v>
      </c>
      <c r="D24">
        <v>803</v>
      </c>
      <c r="E24" s="1">
        <v>1031</v>
      </c>
      <c r="F24">
        <v>841</v>
      </c>
      <c r="G24" s="1">
        <v>1789</v>
      </c>
    </row>
    <row r="25" spans="1:7" x14ac:dyDescent="0.25">
      <c r="A25" t="s">
        <v>22</v>
      </c>
      <c r="B25" t="s">
        <v>34</v>
      </c>
      <c r="C25">
        <v>0</v>
      </c>
      <c r="D25">
        <v>351</v>
      </c>
      <c r="E25">
        <v>247</v>
      </c>
      <c r="F25">
        <v>309</v>
      </c>
      <c r="G25">
        <v>677</v>
      </c>
    </row>
    <row r="26" spans="1:7" x14ac:dyDescent="0.25">
      <c r="A26" t="s">
        <v>22</v>
      </c>
      <c r="B26" t="s">
        <v>35</v>
      </c>
      <c r="C26">
        <v>457</v>
      </c>
      <c r="D26">
        <v>491</v>
      </c>
      <c r="E26">
        <v>139</v>
      </c>
      <c r="F26">
        <v>0</v>
      </c>
      <c r="G26">
        <v>0</v>
      </c>
    </row>
    <row r="27" spans="1:7" x14ac:dyDescent="0.25">
      <c r="A27" t="s">
        <v>22</v>
      </c>
      <c r="B27" t="s">
        <v>36</v>
      </c>
      <c r="C27">
        <v>0</v>
      </c>
      <c r="D27">
        <v>0</v>
      </c>
      <c r="E27">
        <v>0</v>
      </c>
      <c r="F27">
        <v>248</v>
      </c>
      <c r="G27">
        <v>399</v>
      </c>
    </row>
    <row r="28" spans="1:7" x14ac:dyDescent="0.25">
      <c r="B28" t="s">
        <v>37</v>
      </c>
      <c r="C28" s="1">
        <v>17899</v>
      </c>
      <c r="D28" s="1">
        <v>20193</v>
      </c>
      <c r="E28" s="1">
        <v>25390</v>
      </c>
      <c r="F28" s="1">
        <v>29170</v>
      </c>
      <c r="G28" s="1">
        <v>26434</v>
      </c>
    </row>
    <row r="29" spans="1:7" x14ac:dyDescent="0.25">
      <c r="A29" t="s">
        <v>38</v>
      </c>
      <c r="B29" t="s">
        <v>23</v>
      </c>
      <c r="C29">
        <v>0</v>
      </c>
      <c r="D29">
        <v>26</v>
      </c>
      <c r="E29">
        <v>184</v>
      </c>
      <c r="F29">
        <v>0</v>
      </c>
      <c r="G29">
        <v>0</v>
      </c>
    </row>
    <row r="30" spans="1:7" x14ac:dyDescent="0.25">
      <c r="A30" t="s">
        <v>38</v>
      </c>
      <c r="B30" t="s">
        <v>24</v>
      </c>
      <c r="C30">
        <v>660</v>
      </c>
      <c r="D30">
        <v>87</v>
      </c>
      <c r="E30">
        <v>67</v>
      </c>
      <c r="F30">
        <v>383</v>
      </c>
      <c r="G30">
        <v>0</v>
      </c>
    </row>
    <row r="31" spans="1:7" x14ac:dyDescent="0.25">
      <c r="A31" t="s">
        <v>38</v>
      </c>
      <c r="B31" t="s">
        <v>25</v>
      </c>
      <c r="C31" s="1">
        <v>2702</v>
      </c>
      <c r="D31" s="1">
        <v>2667</v>
      </c>
      <c r="E31" s="1">
        <v>1172</v>
      </c>
      <c r="F31">
        <v>353</v>
      </c>
      <c r="G31">
        <v>170</v>
      </c>
    </row>
    <row r="32" spans="1:7" x14ac:dyDescent="0.25">
      <c r="A32" t="s">
        <v>38</v>
      </c>
      <c r="B32" t="s">
        <v>26</v>
      </c>
      <c r="C32" s="1">
        <v>1055</v>
      </c>
      <c r="D32" s="1">
        <v>2022</v>
      </c>
      <c r="E32" s="1">
        <v>3081</v>
      </c>
      <c r="F32" s="1">
        <v>1657</v>
      </c>
      <c r="G32">
        <v>964</v>
      </c>
    </row>
    <row r="33" spans="1:10" x14ac:dyDescent="0.25">
      <c r="A33" t="s">
        <v>38</v>
      </c>
      <c r="B33" t="s">
        <v>27</v>
      </c>
      <c r="C33">
        <v>888</v>
      </c>
      <c r="D33" s="1">
        <v>1132</v>
      </c>
      <c r="E33" s="1">
        <v>2319</v>
      </c>
      <c r="F33" s="1">
        <v>2153</v>
      </c>
      <c r="G33" s="1">
        <v>2095</v>
      </c>
    </row>
    <row r="34" spans="1:10" x14ac:dyDescent="0.25">
      <c r="A34" t="s">
        <v>38</v>
      </c>
      <c r="B34" t="s">
        <v>28</v>
      </c>
      <c r="C34">
        <v>826</v>
      </c>
      <c r="D34" s="1">
        <v>1404</v>
      </c>
      <c r="E34" s="1">
        <v>2166</v>
      </c>
      <c r="F34" s="1">
        <v>2117</v>
      </c>
      <c r="G34" s="1">
        <v>3519</v>
      </c>
    </row>
    <row r="35" spans="1:10" x14ac:dyDescent="0.25">
      <c r="A35" t="s">
        <v>38</v>
      </c>
      <c r="B35" t="s">
        <v>29</v>
      </c>
      <c r="C35" s="1">
        <v>1098</v>
      </c>
      <c r="D35" s="1">
        <v>2017</v>
      </c>
      <c r="E35" s="1">
        <v>1938</v>
      </c>
      <c r="F35" s="1">
        <v>1870</v>
      </c>
      <c r="G35" s="1">
        <v>2214</v>
      </c>
    </row>
    <row r="36" spans="1:10" x14ac:dyDescent="0.25">
      <c r="A36" t="s">
        <v>38</v>
      </c>
      <c r="B36" t="s">
        <v>30</v>
      </c>
      <c r="C36" s="1">
        <v>1430</v>
      </c>
      <c r="D36" s="1">
        <v>1962</v>
      </c>
      <c r="E36" s="1">
        <v>1875</v>
      </c>
      <c r="F36" s="1">
        <v>1975</v>
      </c>
      <c r="G36" s="1">
        <v>2416</v>
      </c>
    </row>
    <row r="37" spans="1:10" x14ac:dyDescent="0.25">
      <c r="A37" t="s">
        <v>38</v>
      </c>
      <c r="B37" t="s">
        <v>31</v>
      </c>
      <c r="C37">
        <v>931</v>
      </c>
      <c r="D37">
        <v>800</v>
      </c>
      <c r="E37">
        <v>442</v>
      </c>
      <c r="F37">
        <v>667</v>
      </c>
      <c r="G37" s="1">
        <v>1003</v>
      </c>
    </row>
    <row r="38" spans="1:10" x14ac:dyDescent="0.25">
      <c r="A38" t="s">
        <v>38</v>
      </c>
      <c r="B38" t="s">
        <v>32</v>
      </c>
      <c r="C38">
        <v>519</v>
      </c>
      <c r="D38">
        <v>923</v>
      </c>
      <c r="E38">
        <v>501</v>
      </c>
      <c r="F38">
        <v>367</v>
      </c>
      <c r="G38">
        <v>832</v>
      </c>
    </row>
    <row r="39" spans="1:10" x14ac:dyDescent="0.25">
      <c r="A39" t="s">
        <v>38</v>
      </c>
      <c r="B39" t="s">
        <v>33</v>
      </c>
      <c r="C39">
        <v>0</v>
      </c>
      <c r="D39">
        <v>0</v>
      </c>
      <c r="E39">
        <v>547</v>
      </c>
      <c r="F39">
        <v>950</v>
      </c>
      <c r="G39" s="1">
        <v>1182</v>
      </c>
    </row>
    <row r="40" spans="1:10" x14ac:dyDescent="0.25">
      <c r="A40" t="s">
        <v>38</v>
      </c>
      <c r="B40" t="s">
        <v>34</v>
      </c>
      <c r="C40">
        <v>74</v>
      </c>
      <c r="D40">
        <v>199</v>
      </c>
      <c r="E40">
        <v>66</v>
      </c>
      <c r="F40">
        <v>196</v>
      </c>
      <c r="G40">
        <v>451</v>
      </c>
    </row>
    <row r="41" spans="1:10" x14ac:dyDescent="0.25">
      <c r="A41" t="s">
        <v>38</v>
      </c>
      <c r="B41" t="s">
        <v>35</v>
      </c>
      <c r="C41">
        <v>58</v>
      </c>
      <c r="D41">
        <v>0</v>
      </c>
      <c r="E41">
        <v>0</v>
      </c>
      <c r="F41">
        <v>0</v>
      </c>
      <c r="G41">
        <v>0</v>
      </c>
    </row>
    <row r="42" spans="1:10" x14ac:dyDescent="0.25">
      <c r="B42" t="s">
        <v>37</v>
      </c>
      <c r="C42" s="1">
        <v>10241</v>
      </c>
      <c r="D42" s="1">
        <v>13239</v>
      </c>
      <c r="E42" s="1">
        <v>14358</v>
      </c>
      <c r="F42" s="1">
        <v>12688</v>
      </c>
      <c r="G42" s="1">
        <v>14846</v>
      </c>
    </row>
    <row r="43" spans="1:10" x14ac:dyDescent="0.25">
      <c r="B43" t="s">
        <v>39</v>
      </c>
      <c r="C43" s="1">
        <v>28140</v>
      </c>
      <c r="D43" s="1">
        <v>33432</v>
      </c>
      <c r="E43" s="1">
        <v>39748</v>
      </c>
      <c r="F43" s="1">
        <v>41858</v>
      </c>
      <c r="G43" s="1">
        <v>41280</v>
      </c>
      <c r="H43" s="1">
        <f>SUM(C43:G43)</f>
        <v>184458</v>
      </c>
      <c r="I43" t="s">
        <v>40</v>
      </c>
      <c r="J43">
        <f>9338/H43*100</f>
        <v>5.0623990285051335</v>
      </c>
    </row>
    <row r="44" spans="1:10" x14ac:dyDescent="0.25">
      <c r="H44" s="1">
        <f>AVERAGE(C43:G43)</f>
        <v>36891.599999999999</v>
      </c>
      <c r="I44" t="s">
        <v>41</v>
      </c>
      <c r="J44">
        <f>8310/H43*100</f>
        <v>4.5050905897277431</v>
      </c>
    </row>
    <row r="45" spans="1:10" x14ac:dyDescent="0.25">
      <c r="J45">
        <f>7908/H43*100</f>
        <v>4.2871547994665447</v>
      </c>
    </row>
    <row r="46" spans="1:10" x14ac:dyDescent="0.25">
      <c r="J46">
        <f>402/H43*100</f>
        <v>0.21793579026119766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Ketki Patel</dc:creator>
  <cp:lastModifiedBy>Ketki Patel</cp:lastModifiedBy>
  <dcterms:created xsi:type="dcterms:W3CDTF">2016-09-12T18:24:21Z</dcterms:created>
  <dcterms:modified xsi:type="dcterms:W3CDTF">2016-09-12T21:22:04Z</dcterms:modified>
</cp:coreProperties>
</file>